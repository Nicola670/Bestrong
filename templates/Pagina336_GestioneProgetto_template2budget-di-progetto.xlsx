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13545" tabRatio="500"/>
  </bookViews>
  <sheets>
    <sheet name="Stima dedei costi +" sheetId="1" r:id="rId1"/>
  </sheets>
  <definedNames>
    <definedName name="_xlnm.Print_Area" localSheetId="0">'Stima dedei costi +'!$B$2:$G$28</definedName>
  </definedNames>
  <calcPr calcId="14562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8" i="1" l="1"/>
  <c r="G16" i="1"/>
  <c r="G21" i="1"/>
  <c r="G24" i="1"/>
  <c r="G10" i="1"/>
  <c r="G11" i="1"/>
  <c r="G12" i="1"/>
  <c r="G13" i="1"/>
  <c r="G14" i="1"/>
  <c r="G15" i="1"/>
  <c r="G8" i="1"/>
  <c r="G6" i="1"/>
  <c r="G7" i="1"/>
  <c r="G9" i="1"/>
  <c r="G18" i="1"/>
  <c r="G19" i="1"/>
  <c r="G20" i="1"/>
  <c r="G22" i="1"/>
  <c r="G23" i="1"/>
  <c r="G26" i="1"/>
  <c r="G2" i="1"/>
  <c r="G17" i="1"/>
  <c r="G27" i="1"/>
  <c r="G25" i="1"/>
</calcChain>
</file>

<file path=xl/sharedStrings.xml><?xml version="1.0" encoding="utf-8"?>
<sst xmlns="http://schemas.openxmlformats.org/spreadsheetml/2006/main" count="55" uniqueCount="35">
  <si>
    <t>BEST-CASE</t>
  </si>
  <si>
    <t>WORST-CASE</t>
  </si>
  <si>
    <t>DETTAGLI</t>
  </si>
  <si>
    <t>DESCRIZIONE ATTIVITA'</t>
  </si>
  <si>
    <t>THREE-POINT COST ESTIMATE</t>
  </si>
  <si>
    <t>MEDIA</t>
  </si>
  <si>
    <t>FORMAZIONE DEL BUDGET DI PROGETTO</t>
  </si>
  <si>
    <t>TOTALE</t>
  </si>
  <si>
    <t>MOST LIKELY</t>
  </si>
  <si>
    <t xml:space="preserve"> ATTIVITA'</t>
  </si>
  <si>
    <t>RISERVA PER RISCHI</t>
  </si>
  <si>
    <t>TOTALE BUDGET</t>
  </si>
  <si>
    <t>RISERVA DI CONTINGENZA</t>
  </si>
  <si>
    <t xml:space="preserve">PROGETTO:  </t>
  </si>
  <si>
    <t xml:space="preserve"> </t>
  </si>
  <si>
    <t>1.  COSTI GENERALI</t>
  </si>
  <si>
    <t>1.1. Costi interni indiretti per infrastrutture e servizi</t>
  </si>
  <si>
    <t>1.2. Costi generali</t>
  </si>
  <si>
    <t>2.1. Costi interni indiretti per personale</t>
  </si>
  <si>
    <t>2.2. Costi per consulenze esterne</t>
  </si>
  <si>
    <t>2. RECLUTAMENTO TEAM</t>
  </si>
  <si>
    <t>2.3. Costi per incarichi/perizie</t>
  </si>
  <si>
    <t>1.3. Spese di pubblicità</t>
  </si>
  <si>
    <t>3. ACQUISTO HARDWARE E SOFTWARE</t>
  </si>
  <si>
    <t>3.1. Acquisto hardware</t>
  </si>
  <si>
    <t>3.2. Acquisto licenze software</t>
  </si>
  <si>
    <t>4. SVILUPPO</t>
  </si>
  <si>
    <t>4.1. Sviluppo software web</t>
  </si>
  <si>
    <t>4.2. Sviluppo software backend</t>
  </si>
  <si>
    <t>4.4. Creazione o migrazione e integrazione di banche dati</t>
  </si>
  <si>
    <t>5.1. Test e collaudo</t>
  </si>
  <si>
    <t>5.2. Installazione</t>
  </si>
  <si>
    <t>5. TEXT E COLLAUDO</t>
  </si>
  <si>
    <t>5.3. Integrazione</t>
  </si>
  <si>
    <t>4.3. Procedure di integrazione gestionale aziendale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</si>
</sst>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.00_);_(&quot;$&quot;* \(#,##0.00\);_(&quot;$&quot;* &quot;-&quot;??_);_(@_)"/>
    <numFmt numFmtId="165" formatCode="mm/dd/yy;@"/>
    <numFmt numFmtId="166" formatCode="_-[$€-410]\ * #,##0.00_-;\-[$€-410]\ * #,##0.00_-;_-[$€-410]\ * &quot;-&quot;??_-;_-@_-"/>
    <numFmt numFmtId="167" formatCode="_-[$€-410]\ * #,##0_-;\-[$€-410]\ * #,##0_-;_-[$€-410]\ * &quot;-&quot;??_-;_-@_-"/>
  </numFmts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  <font>
      <sz val="10"/>
      <color theme="4" tint="-0.499984740745262"/>
      <name val="Century Gothic"/>
      <family val="2"/>
    </font>
    <font>
      <sz val="10"/>
      <color theme="1"/>
      <name val="Arial"/>
      <family val="2"/>
    </font>
    <font>
      <sz val="10"/>
      <color theme="8" tint="-0.249977111117893"/>
      <name val="Century Gothic"/>
      <family val="2"/>
    </font>
    <font>
      <b/>
      <sz val="10"/>
      <color theme="6" tint="-0.249977111117893"/>
      <name val="Century Gothic"/>
      <family val="2"/>
    </font>
    <font>
      <b/>
      <sz val="10"/>
      <color theme="1"/>
      <name val="Century Gothic"/>
      <family val="2"/>
    </font>
    <font>
      <sz val="14"/>
      <color theme="1"/>
      <name val="Century Gothic"/>
      <family val="2"/>
    </font>
    <font>
      <b/>
      <sz val="14"/>
      <color theme="1"/>
      <name val="Century Gothic"/>
      <family val="2"/>
    </font>
    <font>
      <b/>
      <sz val="16"/>
      <color theme="1"/>
      <name val="Arial"/>
      <family val="2"/>
    </font>
    <font>
      <b/>
      <sz val="16"/>
      <color theme="1"/>
      <name val="Century Gothic"/>
      <family val="2"/>
    </font>
    <font>
      <b/>
      <sz val="9"/>
      <color theme="0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double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249977111117893"/>
      </left>
      <right style="medium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249977111117893"/>
      </left>
      <right style="medium">
        <color theme="0" tint="-0.249977111117893"/>
      </right>
      <top/>
      <bottom style="thin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thin">
        <color theme="0" tint="-0.34998626667073579"/>
      </bottom>
      <diagonal/>
    </border>
    <border>
      <left/>
      <right/>
      <top style="medium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249977111117893"/>
      </top>
      <bottom style="thin">
        <color theme="0" tint="-0.34998626667073579"/>
      </bottom>
      <diagonal/>
    </border>
    <border>
      <left/>
      <right style="double">
        <color theme="0" tint="-0.249977111117893"/>
      </right>
      <top style="medium">
        <color theme="0" tint="-0.249977111117893"/>
      </top>
      <bottom style="thin">
        <color theme="0" tint="-0.34998626667073579"/>
      </bottom>
      <diagonal/>
    </border>
    <border>
      <left style="double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theme="0" tint="-0.249977111117893"/>
      </left>
      <right style="medium">
        <color theme="0" tint="-0.249977111117893"/>
      </right>
      <top style="thin">
        <color theme="0" tint="-0.34998626667073579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7" fillId="3" borderId="11" xfId="0" applyFont="1" applyFill="1" applyBorder="1" applyAlignment="1">
      <alignment horizontal="center" vertical="center" wrapText="1"/>
    </xf>
    <xf numFmtId="0" fontId="8" fillId="0" borderId="0" xfId="0" applyFont="1"/>
    <xf numFmtId="0" fontId="10" fillId="0" borderId="0" xfId="0" applyFont="1"/>
    <xf numFmtId="0" fontId="7" fillId="3" borderId="2" xfId="0" applyFont="1" applyFill="1" applyBorder="1" applyAlignment="1">
      <alignment horizontal="center" vertical="center" wrapText="1"/>
    </xf>
    <xf numFmtId="165" fontId="13" fillId="0" borderId="12" xfId="0" applyNumberFormat="1" applyFont="1" applyFill="1" applyBorder="1" applyAlignment="1">
      <alignment horizontal="center" vertical="center" wrapText="1"/>
    </xf>
    <xf numFmtId="165" fontId="13" fillId="2" borderId="12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indent="1"/>
    </xf>
    <xf numFmtId="165" fontId="8" fillId="2" borderId="12" xfId="0" applyNumberFormat="1" applyFont="1" applyFill="1" applyBorder="1" applyAlignment="1">
      <alignment horizontal="center" vertical="center" wrapText="1"/>
    </xf>
    <xf numFmtId="165" fontId="8" fillId="0" borderId="12" xfId="0" applyNumberFormat="1" applyFont="1" applyFill="1" applyBorder="1" applyAlignment="1">
      <alignment horizontal="center" vertical="center" wrapText="1"/>
    </xf>
    <xf numFmtId="166" fontId="14" fillId="0" borderId="1" xfId="1" applyNumberFormat="1" applyFont="1" applyFill="1" applyBorder="1" applyAlignment="1">
      <alignment vertical="center" wrapText="1"/>
    </xf>
    <xf numFmtId="166" fontId="14" fillId="0" borderId="3" xfId="1" applyNumberFormat="1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right" vertical="center" wrapText="1" indent="1"/>
    </xf>
    <xf numFmtId="0" fontId="16" fillId="0" borderId="0" xfId="0" applyFont="1"/>
    <xf numFmtId="0" fontId="17" fillId="0" borderId="0" xfId="0" applyFont="1"/>
    <xf numFmtId="0" fontId="18" fillId="9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167" fontId="8" fillId="0" borderId="1" xfId="1" applyNumberFormat="1" applyFont="1" applyFill="1" applyBorder="1" applyAlignment="1">
      <alignment vertical="center" wrapText="1"/>
    </xf>
    <xf numFmtId="167" fontId="8" fillId="0" borderId="3" xfId="1" applyNumberFormat="1" applyFont="1" applyFill="1" applyBorder="1" applyAlignment="1">
      <alignment vertical="center" wrapText="1"/>
    </xf>
    <xf numFmtId="167" fontId="8" fillId="11" borderId="1" xfId="1" applyNumberFormat="1" applyFont="1" applyFill="1" applyBorder="1" applyAlignment="1">
      <alignment vertical="center" wrapText="1"/>
    </xf>
    <xf numFmtId="167" fontId="8" fillId="7" borderId="1" xfId="1" applyNumberFormat="1" applyFont="1" applyFill="1" applyBorder="1" applyAlignment="1">
      <alignment vertical="center" wrapText="1"/>
    </xf>
    <xf numFmtId="167" fontId="8" fillId="11" borderId="3" xfId="1" applyNumberFormat="1" applyFont="1" applyFill="1" applyBorder="1" applyAlignment="1">
      <alignment vertical="center" wrapText="1"/>
    </xf>
    <xf numFmtId="167" fontId="8" fillId="0" borderId="4" xfId="1" applyNumberFormat="1" applyFont="1" applyFill="1" applyBorder="1" applyAlignment="1">
      <alignment vertical="center" wrapText="1"/>
    </xf>
    <xf numFmtId="167" fontId="8" fillId="8" borderId="4" xfId="1" applyNumberFormat="1" applyFont="1" applyFill="1" applyBorder="1" applyAlignment="1">
      <alignment vertical="center" wrapText="1"/>
    </xf>
    <xf numFmtId="167" fontId="8" fillId="0" borderId="13" xfId="1" applyNumberFormat="1" applyFont="1" applyFill="1" applyBorder="1" applyAlignment="1">
      <alignment vertical="center" wrapText="1"/>
    </xf>
    <xf numFmtId="167" fontId="8" fillId="8" borderId="13" xfId="1" applyNumberFormat="1" applyFont="1" applyFill="1" applyBorder="1" applyAlignment="1">
      <alignment vertical="center" wrapText="1"/>
    </xf>
    <xf numFmtId="167" fontId="12" fillId="0" borderId="0" xfId="0" applyNumberFormat="1" applyFont="1" applyAlignment="1">
      <alignment vertical="center"/>
    </xf>
    <xf numFmtId="167" fontId="15" fillId="0" borderId="4" xfId="1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167" fontId="13" fillId="12" borderId="5" xfId="1" applyNumberFormat="1" applyFont="1" applyFill="1" applyBorder="1" applyAlignment="1">
      <alignment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7" fillId="6" borderId="8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</cellXfs>
  <cellStyles count="4">
    <cellStyle name="Collegamento ipertestuale" xfId="2" builtinId="8" hidden="1"/>
    <cellStyle name="Collegamento ipertestuale visitato" xfId="3" builtinId="9" hidden="1"/>
    <cellStyle name="Normale" xfId="0" builtinId="0"/>
    <cellStyle name="Valuta" xfId="1" builtinId="4"/>
  </cellStyles>
  <dxfs count="0"/>
  <tableStyles count="0" defaultTableStyle="TableStyleMedium9" defaultPivotStyle="PivotStyleMedium7"/>
  <colors>
    <mruColors>
      <color rgb="FF03C2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A1:G41"/>
  <sheetViews>
    <sheetView showGridLines="0" tabSelected="1" zoomScaleNormal="100" workbookViewId="0">
      <pane ySplit="1" topLeftCell="A5" activePane="bottomLeft" state="frozen"/>
      <selection pane="bottomLeft" activeCell="G28" sqref="G28"/>
    </sheetView>
  </sheetViews>
  <sheetFormatPr defaultColWidth="10.75" defaultRowHeight="15" x14ac:dyDescent="0.2"/>
  <cols>
    <col min="1" max="1" width="3.5" style="1" customWidth="1"/>
    <col min="2" max="2" width="21.5" style="1" customWidth="1"/>
    <col min="3" max="3" width="53.625" style="1" customWidth="1"/>
    <col min="4" max="4" width="10.625" style="1" customWidth="1"/>
    <col min="5" max="5" width="10.875" style="1" customWidth="1"/>
    <col min="6" max="6" width="10.75" style="1" customWidth="1"/>
    <col min="7" max="7" width="11.75" style="1" customWidth="1"/>
    <col min="8" max="16384" width="10.75" style="1"/>
  </cols>
  <sheetData>
    <row r="1" spans="1:7" s="14" customFormat="1" ht="22.5" customHeight="1" x14ac:dyDescent="0.3">
      <c r="B1" s="15" t="s">
        <v>6</v>
      </c>
      <c r="C1" s="15"/>
      <c r="D1" s="15"/>
      <c r="E1" s="15"/>
      <c r="F1" s="15"/>
      <c r="G1" s="15"/>
    </row>
    <row r="2" spans="1:7" ht="25.9" customHeight="1" x14ac:dyDescent="0.2">
      <c r="B2" s="35" t="s">
        <v>13</v>
      </c>
      <c r="C2" s="35"/>
      <c r="D2" s="4"/>
      <c r="E2" s="36" t="s">
        <v>7</v>
      </c>
      <c r="F2" s="36"/>
      <c r="G2" s="28">
        <f>G28</f>
        <v>34266.666666666664</v>
      </c>
    </row>
    <row r="3" spans="1:7" ht="9" customHeight="1" thickBot="1" x14ac:dyDescent="0.3">
      <c r="B3" s="3"/>
      <c r="C3" s="3"/>
      <c r="D3" s="3"/>
      <c r="E3" s="3"/>
      <c r="F3" s="3"/>
      <c r="G3" s="3"/>
    </row>
    <row r="4" spans="1:7" ht="19.899999999999999" customHeight="1" x14ac:dyDescent="0.25">
      <c r="A4"/>
      <c r="B4" s="33" t="s">
        <v>2</v>
      </c>
      <c r="C4" s="34"/>
      <c r="D4" s="37" t="s">
        <v>4</v>
      </c>
      <c r="E4" s="38"/>
      <c r="F4" s="39"/>
      <c r="G4" s="40" t="s">
        <v>5</v>
      </c>
    </row>
    <row r="5" spans="1:7" ht="31.9" customHeight="1" x14ac:dyDescent="0.25">
      <c r="A5"/>
      <c r="B5" s="2" t="s">
        <v>9</v>
      </c>
      <c r="C5" s="5" t="s">
        <v>3</v>
      </c>
      <c r="D5" s="16" t="s">
        <v>0</v>
      </c>
      <c r="E5" s="17" t="s">
        <v>8</v>
      </c>
      <c r="F5" s="18" t="s">
        <v>1</v>
      </c>
      <c r="G5" s="41"/>
    </row>
    <row r="6" spans="1:7" ht="19.899999999999999" customHeight="1" x14ac:dyDescent="0.25">
      <c r="A6"/>
      <c r="B6" s="6" t="s">
        <v>15</v>
      </c>
      <c r="C6" s="30" t="s">
        <v>16</v>
      </c>
      <c r="D6" s="19">
        <v>100</v>
      </c>
      <c r="E6" s="19">
        <v>500</v>
      </c>
      <c r="F6" s="20">
        <v>1000</v>
      </c>
      <c r="G6" s="24">
        <f>(D6+(4*E6)+F6)/6</f>
        <v>516.66666666666663</v>
      </c>
    </row>
    <row r="7" spans="1:7" ht="19.899999999999999" customHeight="1" x14ac:dyDescent="0.25">
      <c r="A7"/>
      <c r="B7" s="7"/>
      <c r="C7" s="31" t="s">
        <v>17</v>
      </c>
      <c r="D7" s="21">
        <v>200</v>
      </c>
      <c r="E7" s="22">
        <v>500</v>
      </c>
      <c r="F7" s="23">
        <v>1000</v>
      </c>
      <c r="G7" s="25">
        <f>(D7+(4*E7)+F7)/6</f>
        <v>533.33333333333337</v>
      </c>
    </row>
    <row r="8" spans="1:7" ht="19.899999999999999" customHeight="1" x14ac:dyDescent="0.25">
      <c r="A8"/>
      <c r="B8" s="6"/>
      <c r="C8" s="30" t="s">
        <v>22</v>
      </c>
      <c r="D8" s="19">
        <v>500</v>
      </c>
      <c r="E8" s="19">
        <v>1000</v>
      </c>
      <c r="F8" s="20">
        <v>2000</v>
      </c>
      <c r="G8" s="26">
        <f t="shared" ref="G8" si="0">(D8+(4*E8)+F8)/6</f>
        <v>1083.3333333333333</v>
      </c>
    </row>
    <row r="9" spans="1:7" ht="19.899999999999999" customHeight="1" x14ac:dyDescent="0.25">
      <c r="A9"/>
      <c r="B9" s="7" t="s">
        <v>14</v>
      </c>
      <c r="C9" s="31"/>
      <c r="D9" s="19" t="s">
        <v>14</v>
      </c>
      <c r="E9" s="19" t="s">
        <v>14</v>
      </c>
      <c r="F9" s="20" t="s">
        <v>14</v>
      </c>
      <c r="G9" s="32">
        <f>SUM(G6:G8)</f>
        <v>2133.333333333333</v>
      </c>
    </row>
    <row r="10" spans="1:7" ht="19.899999999999999" customHeight="1" x14ac:dyDescent="0.25">
      <c r="A10"/>
      <c r="B10" s="6" t="s">
        <v>20</v>
      </c>
      <c r="C10" s="30" t="s">
        <v>18</v>
      </c>
      <c r="D10" s="19">
        <v>500</v>
      </c>
      <c r="E10" s="19">
        <v>1000</v>
      </c>
      <c r="F10" s="20">
        <v>2000</v>
      </c>
      <c r="G10" s="24">
        <f>(D10+(4*E10)+F10)/6</f>
        <v>1083.3333333333333</v>
      </c>
    </row>
    <row r="11" spans="1:7" ht="19.899999999999999" customHeight="1" x14ac:dyDescent="0.25">
      <c r="A11"/>
      <c r="B11" s="7"/>
      <c r="C11" s="31" t="s">
        <v>19</v>
      </c>
      <c r="D11" s="21">
        <v>0</v>
      </c>
      <c r="E11" s="22">
        <v>500</v>
      </c>
      <c r="F11" s="23">
        <v>1000</v>
      </c>
      <c r="G11" s="25">
        <f>(D11+(4*E11)+F11)/6</f>
        <v>500</v>
      </c>
    </row>
    <row r="12" spans="1:7" ht="19.899999999999999" customHeight="1" x14ac:dyDescent="0.25">
      <c r="A12"/>
      <c r="B12" s="6"/>
      <c r="C12" s="30" t="s">
        <v>21</v>
      </c>
      <c r="D12" s="19">
        <v>0</v>
      </c>
      <c r="E12" s="19">
        <v>0</v>
      </c>
      <c r="F12" s="20">
        <v>0</v>
      </c>
      <c r="G12" s="26">
        <f t="shared" ref="G12:G26" si="1">(D12+(4*E12)+F12)/6</f>
        <v>0</v>
      </c>
    </row>
    <row r="13" spans="1:7" ht="19.899999999999999" customHeight="1" x14ac:dyDescent="0.25">
      <c r="A13"/>
      <c r="B13" s="6"/>
      <c r="C13" s="30"/>
      <c r="D13" s="19" t="s">
        <v>14</v>
      </c>
      <c r="E13" s="19" t="s">
        <v>14</v>
      </c>
      <c r="F13" s="20" t="s">
        <v>14</v>
      </c>
      <c r="G13" s="32">
        <f>SUM(G10:G12)</f>
        <v>1583.3333333333333</v>
      </c>
    </row>
    <row r="14" spans="1:7" ht="27.75" customHeight="1" x14ac:dyDescent="0.25">
      <c r="A14"/>
      <c r="B14" s="6" t="s">
        <v>23</v>
      </c>
      <c r="C14" s="30" t="s">
        <v>24</v>
      </c>
      <c r="D14" s="19">
        <v>2000</v>
      </c>
      <c r="E14" s="19">
        <v>3000</v>
      </c>
      <c r="F14" s="20">
        <v>4000</v>
      </c>
      <c r="G14" s="24">
        <f t="shared" ref="G14:G15" si="2">(D14+(4*E14)+F14)/6</f>
        <v>3000</v>
      </c>
    </row>
    <row r="15" spans="1:7" ht="19.899999999999999" customHeight="1" x14ac:dyDescent="0.25">
      <c r="A15"/>
      <c r="B15" s="7"/>
      <c r="C15" s="31" t="s">
        <v>25</v>
      </c>
      <c r="D15" s="21">
        <v>1000</v>
      </c>
      <c r="E15" s="22">
        <v>2000</v>
      </c>
      <c r="F15" s="23">
        <v>3000</v>
      </c>
      <c r="G15" s="25">
        <f t="shared" si="2"/>
        <v>2000</v>
      </c>
    </row>
    <row r="16" spans="1:7" ht="24.75" customHeight="1" x14ac:dyDescent="0.25">
      <c r="A16"/>
      <c r="B16" s="6"/>
      <c r="C16" s="30" t="s">
        <v>14</v>
      </c>
      <c r="D16" s="19" t="s">
        <v>14</v>
      </c>
      <c r="E16" s="19" t="s">
        <v>14</v>
      </c>
      <c r="F16" s="20" t="s">
        <v>14</v>
      </c>
      <c r="G16" s="32">
        <f>SUM(G14:G15)</f>
        <v>5000</v>
      </c>
    </row>
    <row r="17" spans="1:7" ht="19.899999999999999" customHeight="1" x14ac:dyDescent="0.25">
      <c r="A17"/>
      <c r="B17" s="6" t="s">
        <v>26</v>
      </c>
      <c r="C17" s="30" t="s">
        <v>27</v>
      </c>
      <c r="D17" s="19">
        <v>2500</v>
      </c>
      <c r="E17" s="19">
        <v>4000</v>
      </c>
      <c r="F17" s="20">
        <v>4000</v>
      </c>
      <c r="G17" s="24">
        <f t="shared" si="1"/>
        <v>3750</v>
      </c>
    </row>
    <row r="18" spans="1:7" ht="19.899999999999999" customHeight="1" x14ac:dyDescent="0.25">
      <c r="A18"/>
      <c r="B18" s="7"/>
      <c r="C18" s="31" t="s">
        <v>28</v>
      </c>
      <c r="D18" s="21">
        <v>5000</v>
      </c>
      <c r="E18" s="22">
        <v>6000</v>
      </c>
      <c r="F18" s="23">
        <v>8000</v>
      </c>
      <c r="G18" s="25">
        <f t="shared" si="1"/>
        <v>6166.666666666667</v>
      </c>
    </row>
    <row r="19" spans="1:7" ht="24.75" customHeight="1" x14ac:dyDescent="0.25">
      <c r="A19"/>
      <c r="B19" s="6"/>
      <c r="C19" s="30" t="s">
        <v>34</v>
      </c>
      <c r="D19" s="19">
        <v>4000</v>
      </c>
      <c r="E19" s="19">
        <v>6000</v>
      </c>
      <c r="F19" s="20">
        <v>8000</v>
      </c>
      <c r="G19" s="24">
        <f t="shared" si="1"/>
        <v>6000</v>
      </c>
    </row>
    <row r="20" spans="1:7" ht="19.899999999999999" customHeight="1" x14ac:dyDescent="0.25">
      <c r="A20"/>
      <c r="B20" s="7"/>
      <c r="C20" s="31" t="s">
        <v>29</v>
      </c>
      <c r="D20" s="21">
        <v>1800</v>
      </c>
      <c r="E20" s="22">
        <v>2000</v>
      </c>
      <c r="F20" s="23">
        <v>3000</v>
      </c>
      <c r="G20" s="25">
        <f t="shared" si="1"/>
        <v>2133.3333333333335</v>
      </c>
    </row>
    <row r="21" spans="1:7" ht="19.899999999999999" customHeight="1" x14ac:dyDescent="0.25">
      <c r="A21"/>
      <c r="B21" s="6"/>
      <c r="C21" s="30"/>
      <c r="D21" s="19" t="s">
        <v>14</v>
      </c>
      <c r="E21" s="19" t="s">
        <v>14</v>
      </c>
      <c r="F21" s="20" t="s">
        <v>14</v>
      </c>
      <c r="G21" s="32">
        <f>SUM(G17:G20)</f>
        <v>18050</v>
      </c>
    </row>
    <row r="22" spans="1:7" ht="19.899999999999999" customHeight="1" x14ac:dyDescent="0.25">
      <c r="A22"/>
      <c r="B22" s="6" t="s">
        <v>32</v>
      </c>
      <c r="C22" s="30" t="s">
        <v>30</v>
      </c>
      <c r="D22" s="19">
        <v>1000</v>
      </c>
      <c r="E22" s="19">
        <v>1500</v>
      </c>
      <c r="F22" s="20">
        <v>2000</v>
      </c>
      <c r="G22" s="24">
        <f t="shared" si="1"/>
        <v>1500</v>
      </c>
    </row>
    <row r="23" spans="1:7" ht="19.899999999999999" customHeight="1" x14ac:dyDescent="0.25">
      <c r="A23"/>
      <c r="B23" s="9"/>
      <c r="C23" s="31" t="s">
        <v>31</v>
      </c>
      <c r="D23" s="21">
        <v>1000</v>
      </c>
      <c r="E23" s="22">
        <v>1500</v>
      </c>
      <c r="F23" s="23">
        <v>2000</v>
      </c>
      <c r="G23" s="27">
        <f t="shared" si="1"/>
        <v>1500</v>
      </c>
    </row>
    <row r="24" spans="1:7" ht="19.899999999999999" customHeight="1" x14ac:dyDescent="0.25">
      <c r="A24"/>
      <c r="B24" s="10"/>
      <c r="C24" s="30" t="s">
        <v>33</v>
      </c>
      <c r="D24" s="19">
        <v>1000</v>
      </c>
      <c r="E24" s="19">
        <v>1500</v>
      </c>
      <c r="F24" s="20">
        <v>2000</v>
      </c>
      <c r="G24" s="24">
        <f t="shared" si="1"/>
        <v>1500</v>
      </c>
    </row>
    <row r="25" spans="1:7" ht="19.899999999999999" customHeight="1" x14ac:dyDescent="0.25">
      <c r="A25"/>
      <c r="B25" s="7" t="s">
        <v>14</v>
      </c>
      <c r="C25" s="31"/>
      <c r="D25" s="19" t="s">
        <v>14</v>
      </c>
      <c r="E25" s="19" t="s">
        <v>14</v>
      </c>
      <c r="F25" s="20" t="s">
        <v>14</v>
      </c>
      <c r="G25" s="32">
        <f>SUM(G22:G24)</f>
        <v>4500</v>
      </c>
    </row>
    <row r="26" spans="1:7" ht="19.899999999999999" customHeight="1" x14ac:dyDescent="0.25">
      <c r="A26"/>
      <c r="B26" s="6" t="s">
        <v>10</v>
      </c>
      <c r="C26" s="30" t="s">
        <v>12</v>
      </c>
      <c r="D26" s="19">
        <v>2000</v>
      </c>
      <c r="E26" s="19">
        <v>3000</v>
      </c>
      <c r="F26" s="20">
        <v>4000</v>
      </c>
      <c r="G26" s="24">
        <f t="shared" si="1"/>
        <v>3000</v>
      </c>
    </row>
    <row r="27" spans="1:7" ht="19.899999999999999" customHeight="1" x14ac:dyDescent="0.25">
      <c r="A27"/>
      <c r="B27" s="9"/>
      <c r="C27" s="8"/>
      <c r="D27" s="19" t="s">
        <v>14</v>
      </c>
      <c r="E27" s="19" t="s">
        <v>14</v>
      </c>
      <c r="F27" s="20" t="s">
        <v>14</v>
      </c>
      <c r="G27" s="32">
        <f>G26</f>
        <v>3000</v>
      </c>
    </row>
    <row r="28" spans="1:7" ht="19.899999999999999" customHeight="1" x14ac:dyDescent="0.25">
      <c r="A28"/>
      <c r="B28" s="10"/>
      <c r="C28" s="13" t="s">
        <v>11</v>
      </c>
      <c r="D28" s="11"/>
      <c r="E28" s="11"/>
      <c r="F28" s="12"/>
      <c r="G28" s="29">
        <f>G9+G13+G16+G21+G25+G27</f>
        <v>34266.666666666664</v>
      </c>
    </row>
    <row r="29" spans="1:7" ht="15.75" x14ac:dyDescent="0.25">
      <c r="A29"/>
    </row>
    <row r="30" spans="1:7" ht="15.75" x14ac:dyDescent="0.25">
      <c r="A30"/>
    </row>
    <row r="31" spans="1:7" ht="15.75" x14ac:dyDescent="0.25">
      <c r="A31"/>
    </row>
    <row r="32" spans="1:7" ht="15.75" x14ac:dyDescent="0.25">
      <c r="A32"/>
    </row>
    <row r="33" spans="1:1" ht="15.75" x14ac:dyDescent="0.25">
      <c r="A33"/>
    </row>
    <row r="34" spans="1:1" ht="15.75" x14ac:dyDescent="0.25">
      <c r="A34"/>
    </row>
    <row r="35" spans="1:1" ht="15.75" x14ac:dyDescent="0.25">
      <c r="A35"/>
    </row>
    <row r="36" spans="1:1" ht="15.75" x14ac:dyDescent="0.25">
      <c r="A36"/>
    </row>
    <row r="37" spans="1:1" ht="15.75" x14ac:dyDescent="0.25">
      <c r="A37"/>
    </row>
    <row r="38" spans="1:1" ht="21" customHeight="1" x14ac:dyDescent="0.25">
      <c r="A38"/>
    </row>
    <row r="41" spans="1:1" ht="42" customHeight="1" x14ac:dyDescent="0.2"/>
  </sheetData>
  <mergeCells count="5">
    <mergeCell ref="B4:C4"/>
    <mergeCell ref="B2:C2"/>
    <mergeCell ref="E2:F2"/>
    <mergeCell ref="D4:F4"/>
    <mergeCell ref="G4:G5"/>
  </mergeCells>
  <phoneticPr fontId="4" type="noConversion"/>
  <printOptions horizontalCentered="1" verticalCentered="1"/>
  <pageMargins left="0.25" right="0.25" top="0.25" bottom="0.25" header="0" footer="0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Stima dedei costi +</vt:lpstr>
      <vt:lpstr>'Stima dedei costi +'!Area_stampa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</dc:creator>
  <cp:lastModifiedBy>Utente</cp:lastModifiedBy>
  <dcterms:created xsi:type="dcterms:W3CDTF">2016-02-17T05:52:24Z</dcterms:created>
  <dcterms:modified xsi:type="dcterms:W3CDTF">2020-06-27T10:39:21Z</dcterms:modified>
</cp:coreProperties>
</file>