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2010" yWindow="825" windowWidth="23085" windowHeight="13740" activeTab="1"/>
  </bookViews>
  <sheets>
    <sheet name="Livello1" sheetId="9" r:id="rId1"/>
    <sheet name="Foglio1" sheetId="10" r:id="rId2"/>
  </sheet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O4" i="9" l="1"/>
  <c r="P4" i="9" l="1"/>
  <c r="N5" i="9" s="1"/>
  <c r="O5" i="9" s="1"/>
  <c r="P5" i="9" l="1"/>
  <c r="N6" i="9" s="1"/>
  <c r="O6" i="9" s="1"/>
  <c r="P6" i="9" l="1"/>
  <c r="N7" i="9" s="1"/>
  <c r="O7" i="9" l="1"/>
  <c r="P7" i="9" s="1"/>
  <c r="N8" i="9" s="1"/>
  <c r="O8" i="9" s="1"/>
  <c r="P8" i="9" l="1"/>
  <c r="N9" i="9" s="1"/>
  <c r="O9" i="9" s="1"/>
  <c r="P9" i="9" s="1"/>
  <c r="N10" i="9" s="1"/>
  <c r="O10" i="9" s="1"/>
  <c r="P10" i="9" s="1"/>
</calcChain>
</file>

<file path=xl/sharedStrings.xml><?xml version="1.0" encoding="utf-8"?>
<sst xmlns="http://schemas.openxmlformats.org/spreadsheetml/2006/main" count="38" uniqueCount="31">
  <si>
    <t>L</t>
  </si>
  <si>
    <t>M</t>
  </si>
  <si>
    <t>G</t>
  </si>
  <si>
    <t>V</t>
  </si>
  <si>
    <t>S</t>
  </si>
  <si>
    <t>D</t>
  </si>
  <si>
    <t>5 gg  (corta)</t>
  </si>
  <si>
    <t>ATTIVITA'</t>
  </si>
  <si>
    <t>Durata (gg)</t>
  </si>
  <si>
    <t>SETTIMANA LAVORATIVA</t>
  </si>
  <si>
    <t>PERIODO</t>
  </si>
  <si>
    <t>LIVELLO 1</t>
  </si>
  <si>
    <t>LIVELLO 2</t>
  </si>
  <si>
    <t>DATA INIZIO</t>
  </si>
  <si>
    <t>DATA FINE</t>
  </si>
  <si>
    <t>Attività F</t>
  </si>
  <si>
    <t>Attività A</t>
  </si>
  <si>
    <t>Attività B</t>
  </si>
  <si>
    <t>Attività C</t>
  </si>
  <si>
    <t>Attività D</t>
  </si>
  <si>
    <t>Attività E</t>
  </si>
  <si>
    <t>Attività G</t>
  </si>
  <si>
    <t>GG/uomo</t>
  </si>
  <si>
    <t>nr</t>
  </si>
  <si>
    <t>Collaudo e certificazioni</t>
  </si>
  <si>
    <t xml:space="preserve">Pianificazione di progetto </t>
  </si>
  <si>
    <t xml:space="preserve">Specifiche di progetto </t>
  </si>
  <si>
    <t xml:space="preserve">Progettazione </t>
  </si>
  <si>
    <t xml:space="preserve">Sviluppo Applicazione </t>
  </si>
  <si>
    <t xml:space="preserve">Test Applicazione </t>
  </si>
  <si>
    <t xml:space="preserve">Rilascio applicazione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</si>
</sst>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d\ dd/mm/yy"/>
  </numFmts>
  <fonts count="9" x14ac:knownFonts="1">
    <font>
      <sz val="10"/>
      <name val="Arial"/>
    </font>
    <font>
      <sz val="10"/>
      <name val="Arial"/>
    </font>
    <font>
      <sz val="8"/>
      <name val="Arial"/>
    </font>
    <font>
      <sz val="10"/>
      <name val="Arial"/>
      <family val="2"/>
    </font>
    <font>
      <sz val="11"/>
      <name val="Calibri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6"/>
      <name val="Arial"/>
      <family val="2"/>
    </font>
    <font>
      <b/>
      <sz val="10"/>
      <color rgb="FF00206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1" fillId="0" borderId="0" xfId="0" applyNumberFormat="1" applyFont="1" applyBorder="1"/>
    <xf numFmtId="0" fontId="1" fillId="0" borderId="2" xfId="0" applyNumberFormat="1" applyFont="1" applyFill="1" applyBorder="1" applyAlignment="1">
      <alignment horizontal="center"/>
    </xf>
    <xf numFmtId="0" fontId="0" fillId="0" borderId="0" xfId="0" applyBorder="1"/>
    <xf numFmtId="0" fontId="2" fillId="0" borderId="3" xfId="0" applyNumberFormat="1" applyFont="1" applyFill="1" applyBorder="1" applyAlignment="1"/>
    <xf numFmtId="0" fontId="1" fillId="0" borderId="4" xfId="0" applyNumberFormat="1" applyFont="1" applyBorder="1"/>
    <xf numFmtId="0" fontId="4" fillId="0" borderId="3" xfId="0" applyFont="1" applyBorder="1"/>
    <xf numFmtId="0" fontId="5" fillId="0" borderId="0" xfId="0" applyFont="1"/>
    <xf numFmtId="0" fontId="6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Continuous" vertical="center"/>
    </xf>
    <xf numFmtId="0" fontId="8" fillId="3" borderId="6" xfId="0" applyFont="1" applyFill="1" applyBorder="1" applyAlignment="1">
      <alignment horizontal="centerContinuous" vertical="center"/>
    </xf>
    <xf numFmtId="0" fontId="3" fillId="3" borderId="8" xfId="0" applyFont="1" applyFill="1" applyBorder="1" applyAlignment="1">
      <alignment horizontal="centerContinuous" vertical="center"/>
    </xf>
    <xf numFmtId="0" fontId="6" fillId="2" borderId="9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164" fontId="1" fillId="0" borderId="12" xfId="0" applyNumberFormat="1" applyFont="1" applyFill="1" applyBorder="1"/>
    <xf numFmtId="0" fontId="0" fillId="0" borderId="11" xfId="0" applyFont="1" applyFill="1" applyBorder="1" applyAlignment="1">
      <alignment vertical="center"/>
    </xf>
    <xf numFmtId="0" fontId="0" fillId="0" borderId="13" xfId="0" applyFont="1" applyFill="1" applyBorder="1" applyAlignment="1">
      <alignment vertical="center"/>
    </xf>
    <xf numFmtId="0" fontId="1" fillId="0" borderId="15" xfId="0" applyNumberFormat="1" applyFont="1" applyFill="1" applyBorder="1" applyAlignment="1">
      <alignment horizontal="center"/>
    </xf>
    <xf numFmtId="0" fontId="2" fillId="0" borderId="14" xfId="0" applyNumberFormat="1" applyFont="1" applyFill="1" applyBorder="1" applyAlignment="1"/>
    <xf numFmtId="0" fontId="1" fillId="0" borderId="16" xfId="0" applyNumberFormat="1" applyFont="1" applyBorder="1"/>
    <xf numFmtId="0" fontId="1" fillId="0" borderId="17" xfId="0" applyNumberFormat="1" applyFont="1" applyBorder="1"/>
    <xf numFmtId="164" fontId="1" fillId="0" borderId="18" xfId="0" applyNumberFormat="1" applyFont="1" applyFill="1" applyBorder="1"/>
    <xf numFmtId="0" fontId="4" fillId="0" borderId="14" xfId="0" applyFont="1" applyBorder="1"/>
    <xf numFmtId="164" fontId="1" fillId="0" borderId="0" xfId="0" applyNumberFormat="1" applyFont="1" applyFill="1" applyBorder="1"/>
    <xf numFmtId="0" fontId="1" fillId="0" borderId="3" xfId="0" applyNumberFormat="1" applyFont="1" applyBorder="1"/>
    <xf numFmtId="0" fontId="1" fillId="0" borderId="14" xfId="0" applyNumberFormat="1" applyFont="1" applyBorder="1"/>
    <xf numFmtId="164" fontId="1" fillId="0" borderId="16" xfId="0" applyNumberFormat="1" applyFont="1" applyFill="1" applyBorder="1"/>
    <xf numFmtId="0" fontId="8" fillId="3" borderId="7" xfId="0" applyFont="1" applyFill="1" applyBorder="1" applyAlignment="1">
      <alignment horizontal="centerContinuous" vertical="center"/>
    </xf>
    <xf numFmtId="0" fontId="1" fillId="0" borderId="3" xfId="0" applyNumberFormat="1" applyFont="1" applyFill="1" applyBorder="1" applyAlignment="1">
      <alignment horizontal="center"/>
    </xf>
    <xf numFmtId="0" fontId="1" fillId="0" borderId="14" xfId="0" applyNumberFormat="1" applyFont="1" applyFill="1" applyBorder="1" applyAlignment="1">
      <alignment horizontal="center"/>
    </xf>
    <xf numFmtId="0" fontId="5" fillId="2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 wrapText="1"/>
    </xf>
    <xf numFmtId="0" fontId="0" fillId="0" borderId="19" xfId="0" applyFont="1" applyFill="1" applyBorder="1" applyAlignment="1">
      <alignment vertical="center"/>
    </xf>
    <xf numFmtId="0" fontId="1" fillId="0" borderId="7" xfId="0" applyNumberFormat="1" applyFont="1" applyFill="1" applyBorder="1" applyAlignment="1">
      <alignment horizontal="center"/>
    </xf>
    <xf numFmtId="0" fontId="1" fillId="0" borderId="20" xfId="0" applyNumberFormat="1" applyFont="1" applyFill="1" applyBorder="1" applyAlignment="1">
      <alignment horizontal="center"/>
    </xf>
    <xf numFmtId="0" fontId="2" fillId="0" borderId="20" xfId="0" applyNumberFormat="1" applyFont="1" applyFill="1" applyBorder="1" applyAlignment="1"/>
    <xf numFmtId="0" fontId="1" fillId="0" borderId="20" xfId="0" applyNumberFormat="1" applyFont="1" applyBorder="1"/>
    <xf numFmtId="0" fontId="1" fillId="0" borderId="21" xfId="0" applyNumberFormat="1" applyFont="1" applyBorder="1"/>
    <xf numFmtId="0" fontId="1" fillId="0" borderId="22" xfId="0" applyNumberFormat="1" applyFont="1" applyBorder="1"/>
    <xf numFmtId="164" fontId="1" fillId="0" borderId="21" xfId="0" applyNumberFormat="1" applyFont="1" applyFill="1" applyBorder="1"/>
    <xf numFmtId="0" fontId="1" fillId="0" borderId="7" xfId="0" applyNumberFormat="1" applyFont="1" applyBorder="1" applyAlignment="1">
      <alignment horizontal="center"/>
    </xf>
    <xf numFmtId="164" fontId="1" fillId="0" borderId="23" xfId="0" applyNumberFormat="1" applyFont="1" applyFill="1" applyBorder="1"/>
    <xf numFmtId="0" fontId="0" fillId="0" borderId="0" xfId="0" applyNumberFormat="1"/>
    <xf numFmtId="0" fontId="1" fillId="0" borderId="24" xfId="0" applyNumberFormat="1" applyFont="1" applyBorder="1" applyAlignment="1">
      <alignment horizontal="center"/>
    </xf>
    <xf numFmtId="0" fontId="4" fillId="0" borderId="25" xfId="0" applyFont="1" applyBorder="1"/>
    <xf numFmtId="0" fontId="8" fillId="3" borderId="7" xfId="0" applyFont="1" applyFill="1" applyBorder="1" applyAlignment="1">
      <alignment horizontal="center" vertical="center"/>
    </xf>
    <xf numFmtId="0" fontId="8" fillId="3" borderId="7" xfId="0" applyFont="1" applyFill="1" applyBorder="1" applyAlignment="1">
      <alignment vertical="center"/>
    </xf>
    <xf numFmtId="0" fontId="0" fillId="0" borderId="23" xfId="0" applyBorder="1"/>
    <xf numFmtId="0" fontId="0" fillId="0" borderId="27" xfId="0" applyBorder="1"/>
    <xf numFmtId="0" fontId="0" fillId="0" borderId="28" xfId="0" applyBorder="1"/>
    <xf numFmtId="0" fontId="0" fillId="0" borderId="26" xfId="0" applyBorder="1" applyAlignment="1">
      <alignment vertical="center"/>
    </xf>
    <xf numFmtId="0" fontId="0" fillId="0" borderId="29" xfId="0" applyBorder="1"/>
  </cellXfs>
  <cellStyles count="1">
    <cellStyle name="Normale" xfId="0" builtinId="0"/>
  </cellStyles>
  <dxfs count="9"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ill>
        <patternFill>
          <bgColor indexed="22"/>
        </patternFill>
      </fill>
      <border>
        <top style="thin">
          <color indexed="9"/>
        </top>
        <bottom style="thin">
          <color indexed="9"/>
        </bottom>
      </border>
    </dxf>
    <dxf>
      <font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it-I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0.14124313267337113"/>
          <c:y val="5.4945251492572018E-2"/>
          <c:w val="0.83898420807982443"/>
          <c:h val="0.8937760909458381"/>
        </c:manualLayout>
      </c:layout>
      <c:barChart>
        <c:barDir val="bar"/>
        <c:grouping val="stacked"/>
        <c:varyColors val="0"/>
        <c:ser>
          <c:idx val="0"/>
          <c:order val="0"/>
          <c:spPr>
            <a:noFill/>
            <a:ln w="25400">
              <a:noFill/>
            </a:ln>
          </c:spPr>
          <c:invertIfNegative val="0"/>
          <c:dLbls>
            <c:numFmt formatCode="[$-410]d\-mmm\-yy;@" sourceLinked="0"/>
            <c:spPr>
              <a:solidFill>
                <a:schemeClr val="accent5">
                  <a:lumMod val="40000"/>
                  <a:lumOff val="60000"/>
                </a:schemeClr>
              </a:solidFill>
              <a:ln w="25400">
                <a:noFill/>
              </a:ln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Sviluppo Applicazione </c:v>
                  </c:pt>
                  <c:pt idx="4">
                    <c:v>Test Applicazione </c:v>
                  </c:pt>
                  <c:pt idx="5">
                    <c:v>Rilascio applicazione </c:v>
                  </c:pt>
                  <c:pt idx="6">
                    <c:v>Collaudo e certificazioni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Livello1!$N$4:$N$10</c:f>
              <c:numCache>
                <c:formatCode>ddd\ dd/mm/yy</c:formatCode>
                <c:ptCount val="7"/>
                <c:pt idx="0">
                  <c:v>44264</c:v>
                </c:pt>
                <c:pt idx="1">
                  <c:v>44267</c:v>
                </c:pt>
                <c:pt idx="2">
                  <c:v>44278</c:v>
                </c:pt>
                <c:pt idx="3">
                  <c:v>44281</c:v>
                </c:pt>
                <c:pt idx="4">
                  <c:v>44288</c:v>
                </c:pt>
                <c:pt idx="5">
                  <c:v>44293</c:v>
                </c:pt>
                <c:pt idx="6">
                  <c:v>44295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0-D34E-423A-998B-9ABF52EF6585}"/>
            </c:ext>
          </c:extLst>
        </c:ser>
        <c:ser>
          <c:idx val="1"/>
          <c:order val="1"/>
          <c:spPr>
            <a:solidFill>
              <a:srgbClr val="FF0000"/>
            </a:solidFill>
            <a:ln w="12700">
              <a:solidFill>
                <a:srgbClr val="000000"/>
              </a:solidFill>
              <a:prstDash val="solid"/>
            </a:ln>
          </c:spPr>
          <c:invertIfNegative val="0"/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Sviluppo Applicazione </c:v>
                  </c:pt>
                  <c:pt idx="4">
                    <c:v>Test Applicazione </c:v>
                  </c:pt>
                  <c:pt idx="5">
                    <c:v>Rilascio applicazione </c:v>
                  </c:pt>
                  <c:pt idx="6">
                    <c:v>Collaudo e certificazioni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Livello1!$O$4:$O$10</c:f>
              <c:numCache>
                <c:formatCode>General</c:formatCode>
                <c:ptCount val="7"/>
                <c:pt idx="0">
                  <c:v>3</c:v>
                </c:pt>
                <c:pt idx="1">
                  <c:v>11</c:v>
                </c:pt>
                <c:pt idx="2">
                  <c:v>3</c:v>
                </c:pt>
                <c:pt idx="3">
                  <c:v>7</c:v>
                </c:pt>
                <c:pt idx="4">
                  <c:v>5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1-D34E-423A-998B-9ABF52EF6585}"/>
            </c:ext>
          </c:extLst>
        </c:ser>
        <c:ser>
          <c:idx val="2"/>
          <c:order val="2"/>
          <c:spPr>
            <a:noFill/>
            <a:ln w="25400">
              <a:noFill/>
            </a:ln>
          </c:spPr>
          <c:invertIfNegative val="0"/>
          <c:dLbls>
            <c:numFmt formatCode="[$-410]d\-mmm\-yy;@" sourceLinked="0"/>
            <c:spPr>
              <a:solidFill>
                <a:schemeClr val="accent2">
                  <a:lumMod val="40000"/>
                  <a:lumOff val="60000"/>
                </a:schemeClr>
              </a:solidFill>
              <a:ln w="25400">
                <a:noFill/>
              </a:ln>
              <a:effectLst/>
            </c:spPr>
            <c:txPr>
              <a:bodyPr/>
              <a:lstStyle/>
              <a:p>
                <a:pPr>
                  <a:defRPr sz="8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it-IT"/>
              </a:p>
            </c:txPr>
            <c:dLblPos val="inBase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multiLvlStrRef>
              <c:f>Livello1!$B$4:$C$10</c:f>
              <c:multiLvlStrCache>
                <c:ptCount val="7"/>
                <c:lvl>
                  <c:pt idx="0">
                    <c:v>Pianificazione di progetto </c:v>
                  </c:pt>
                  <c:pt idx="1">
                    <c:v>Specifiche di progetto </c:v>
                  </c:pt>
                  <c:pt idx="2">
                    <c:v>Progettazione </c:v>
                  </c:pt>
                  <c:pt idx="3">
                    <c:v>Sviluppo Applicazione </c:v>
                  </c:pt>
                  <c:pt idx="4">
                    <c:v>Test Applicazione </c:v>
                  </c:pt>
                  <c:pt idx="5">
                    <c:v>Rilascio applicazione </c:v>
                  </c:pt>
                  <c:pt idx="6">
                    <c:v>Collaudo e certificazioni</c:v>
                  </c:pt>
                </c:lvl>
                <c:lvl>
                  <c:pt idx="0">
                    <c:v>Attività A</c:v>
                  </c:pt>
                  <c:pt idx="1">
                    <c:v>Attività B</c:v>
                  </c:pt>
                  <c:pt idx="2">
                    <c:v>Attività C</c:v>
                  </c:pt>
                  <c:pt idx="3">
                    <c:v>Attività D</c:v>
                  </c:pt>
                  <c:pt idx="4">
                    <c:v>Attività E</c:v>
                  </c:pt>
                  <c:pt idx="5">
                    <c:v>Attività F</c:v>
                  </c:pt>
                  <c:pt idx="6">
                    <c:v>Attività G</c:v>
                  </c:pt>
                </c:lvl>
              </c:multiLvlStrCache>
            </c:multiLvlStrRef>
          </c:cat>
          <c:val>
            <c:numRef>
              <c:f>Livello1!$P$4:$P$10</c:f>
              <c:numCache>
                <c:formatCode>ddd\ dd/mm/yy</c:formatCode>
                <c:ptCount val="7"/>
                <c:pt idx="0">
                  <c:v>44266</c:v>
                </c:pt>
                <c:pt idx="1">
                  <c:v>44277</c:v>
                </c:pt>
                <c:pt idx="2">
                  <c:v>44280</c:v>
                </c:pt>
                <c:pt idx="3">
                  <c:v>44287</c:v>
                </c:pt>
                <c:pt idx="4">
                  <c:v>44292</c:v>
                </c:pt>
                <c:pt idx="5">
                  <c:v>44294</c:v>
                </c:pt>
                <c:pt idx="6">
                  <c:v>44295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2-D34E-423A-998B-9ABF52EF65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8"/>
        <c:overlap val="100"/>
        <c:axId val="50059136"/>
        <c:axId val="50060672"/>
      </c:barChart>
      <c:catAx>
        <c:axId val="50059136"/>
        <c:scaling>
          <c:orientation val="maxMin"/>
        </c:scaling>
        <c:delete val="0"/>
        <c:axPos val="l"/>
        <c:majorGridlines>
          <c:spPr>
            <a:ln w="3175">
              <a:solidFill>
                <a:srgbClr val="C0C0C0"/>
              </a:solidFill>
              <a:prstDash val="solid"/>
            </a:ln>
          </c:spPr>
        </c:majorGridlines>
        <c:numFmt formatCode="General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800" b="0" i="0" u="none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endParaRPr lang="it-IT"/>
          </a:p>
        </c:txPr>
        <c:crossAx val="50060672"/>
        <c:crosses val="autoZero"/>
        <c:auto val="1"/>
        <c:lblAlgn val="ctr"/>
        <c:lblOffset val="40"/>
        <c:tickLblSkip val="1"/>
        <c:tickMarkSkip val="1"/>
        <c:noMultiLvlLbl val="0"/>
      </c:catAx>
      <c:valAx>
        <c:axId val="50060672"/>
        <c:scaling>
          <c:logBase val="10"/>
          <c:orientation val="minMax"/>
          <c:max val="44312"/>
          <c:min val="44259"/>
        </c:scaling>
        <c:delete val="0"/>
        <c:axPos val="t"/>
        <c:numFmt formatCode="ddd\ dd/mm/yy" sourceLinked="1"/>
        <c:majorTickMark val="none"/>
        <c:minorTickMark val="none"/>
        <c:tickLblPos val="none"/>
        <c:spPr>
          <a:solidFill>
            <a:srgbClr val="00B0F0"/>
          </a:solidFill>
          <a:ln w="3175">
            <a:solidFill>
              <a:schemeClr val="accent4">
                <a:lumMod val="75000"/>
              </a:schemeClr>
            </a:solidFill>
            <a:prstDash val="solid"/>
          </a:ln>
        </c:spPr>
        <c:crossAx val="50059136"/>
        <c:crosses val="autoZero"/>
        <c:crossBetween val="between"/>
      </c:valAx>
      <c:spPr>
        <a:solidFill>
          <a:srgbClr val="FFFF99"/>
        </a:solidFill>
        <a:ln w="12700">
          <a:solidFill>
            <a:srgbClr val="808080"/>
          </a:solidFill>
          <a:prstDash val="solid"/>
        </a:ln>
      </c:spPr>
    </c:plotArea>
    <c:plotVisOnly val="1"/>
    <c:dispBlanksAs val="gap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it-IT"/>
    </a:p>
  </c:txPr>
  <c:printSettings>
    <c:headerFooter alignWithMargins="0"/>
    <c:pageMargins b="1" l="0.75" r="0.75" t="1" header="0.5" footer="0.5"/>
    <c:pageSetup paperSize="9" orientation="landscape" horizontalDpi="0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276225</xdr:colOff>
      <xdr:row>11</xdr:row>
      <xdr:rowOff>113434</xdr:rowOff>
    </xdr:from>
    <xdr:to>
      <xdr:col>15</xdr:col>
      <xdr:colOff>857250</xdr:colOff>
      <xdr:row>24</xdr:row>
      <xdr:rowOff>34636</xdr:rowOff>
    </xdr:to>
    <xdr:graphicFrame macro="">
      <xdr:nvGraphicFramePr>
        <xdr:cNvPr id="23557" name="Grafico 1">
          <a:extLst>
            <a:ext uri="{FF2B5EF4-FFF2-40B4-BE49-F238E27FC236}">
              <a16:creationId xmlns:a16="http://schemas.microsoft.com/office/drawing/2014/main" xmlns="" id="{00000000-0008-0000-0000-0000055C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28575</xdr:colOff>
      <xdr:row>3</xdr:row>
      <xdr:rowOff>342900</xdr:rowOff>
    </xdr:from>
    <xdr:to>
      <xdr:col>4</xdr:col>
      <xdr:colOff>19050</xdr:colOff>
      <xdr:row>3</xdr:row>
      <xdr:rowOff>342900</xdr:rowOff>
    </xdr:to>
    <xdr:cxnSp macro="">
      <xdr:nvCxnSpPr>
        <xdr:cNvPr id="3" name="Connettore 2 2"/>
        <xdr:cNvCxnSpPr/>
      </xdr:nvCxnSpPr>
      <xdr:spPr>
        <a:xfrm>
          <a:off x="2124075" y="514350"/>
          <a:ext cx="600075" cy="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523875</xdr:colOff>
      <xdr:row>2</xdr:row>
      <xdr:rowOff>85725</xdr:rowOff>
    </xdr:from>
    <xdr:to>
      <xdr:col>8</xdr:col>
      <xdr:colOff>47625</xdr:colOff>
      <xdr:row>2</xdr:row>
      <xdr:rowOff>104775</xdr:rowOff>
    </xdr:to>
    <xdr:cxnSp macro="">
      <xdr:nvCxnSpPr>
        <xdr:cNvPr id="4" name="Connettore 2 3"/>
        <xdr:cNvCxnSpPr/>
      </xdr:nvCxnSpPr>
      <xdr:spPr>
        <a:xfrm>
          <a:off x="4324350" y="409575"/>
          <a:ext cx="1495425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514350</xdr:colOff>
      <xdr:row>6</xdr:row>
      <xdr:rowOff>76200</xdr:rowOff>
    </xdr:from>
    <xdr:to>
      <xdr:col>8</xdr:col>
      <xdr:colOff>38100</xdr:colOff>
      <xdr:row>6</xdr:row>
      <xdr:rowOff>95250</xdr:rowOff>
    </xdr:to>
    <xdr:cxnSp macro="">
      <xdr:nvCxnSpPr>
        <xdr:cNvPr id="6" name="Connettore 2 5"/>
        <xdr:cNvCxnSpPr/>
      </xdr:nvCxnSpPr>
      <xdr:spPr>
        <a:xfrm>
          <a:off x="4314825" y="1581150"/>
          <a:ext cx="1495425" cy="19050"/>
        </a:xfrm>
        <a:prstGeom prst="straightConnector1">
          <a:avLst/>
        </a:prstGeom>
        <a:ln>
          <a:tailEnd type="arrow"/>
        </a:ln>
      </xdr:spPr>
      <xdr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S12"/>
  <sheetViews>
    <sheetView topLeftCell="B1" zoomScale="110" zoomScaleNormal="110" workbookViewId="0">
      <selection activeCell="C10" sqref="C10"/>
    </sheetView>
  </sheetViews>
  <sheetFormatPr defaultRowHeight="12.75" x14ac:dyDescent="0.2"/>
  <cols>
    <col min="1" max="1" width="4.28515625" customWidth="1"/>
    <col min="2" max="2" width="10.42578125" customWidth="1"/>
    <col min="3" max="3" width="23.85546875" customWidth="1"/>
    <col min="4" max="4" width="9.140625" customWidth="1"/>
    <col min="5" max="5" width="4.140625" customWidth="1"/>
    <col min="6" max="6" width="9.85546875" customWidth="1"/>
    <col min="7" max="13" width="2.42578125" customWidth="1"/>
    <col min="14" max="14" width="13.7109375" customWidth="1"/>
    <col min="15" max="15" width="11.140625" customWidth="1"/>
    <col min="16" max="16" width="12.85546875" customWidth="1"/>
    <col min="19" max="19" width="12.140625" bestFit="1" customWidth="1"/>
  </cols>
  <sheetData>
    <row r="1" spans="2:19" ht="13.5" thickBot="1" x14ac:dyDescent="0.25"/>
    <row r="2" spans="2:19" ht="21.75" customHeight="1" x14ac:dyDescent="0.2">
      <c r="B2" s="11" t="s">
        <v>7</v>
      </c>
      <c r="C2" s="12"/>
      <c r="D2" s="12"/>
      <c r="E2" s="29"/>
      <c r="F2" s="47" t="s">
        <v>9</v>
      </c>
      <c r="G2" s="48"/>
      <c r="H2" s="48"/>
      <c r="I2" s="48"/>
      <c r="J2" s="48"/>
      <c r="K2" s="48"/>
      <c r="L2" s="48"/>
      <c r="M2" s="48"/>
      <c r="N2" s="12" t="s">
        <v>10</v>
      </c>
      <c r="O2" s="12"/>
      <c r="P2" s="13"/>
    </row>
    <row r="3" spans="2:19" s="8" customFormat="1" ht="12.75" customHeight="1" thickBot="1" x14ac:dyDescent="0.25">
      <c r="B3" s="14" t="s">
        <v>11</v>
      </c>
      <c r="C3" s="9" t="s">
        <v>12</v>
      </c>
      <c r="D3" s="10" t="s">
        <v>22</v>
      </c>
      <c r="E3" s="10" t="s">
        <v>23</v>
      </c>
      <c r="F3" s="32"/>
      <c r="G3" s="33" t="s">
        <v>0</v>
      </c>
      <c r="H3" s="33" t="s">
        <v>1</v>
      </c>
      <c r="I3" s="33" t="s">
        <v>1</v>
      </c>
      <c r="J3" s="33" t="s">
        <v>2</v>
      </c>
      <c r="K3" s="33" t="s">
        <v>3</v>
      </c>
      <c r="L3" s="33" t="s">
        <v>4</v>
      </c>
      <c r="M3" s="33" t="s">
        <v>5</v>
      </c>
      <c r="N3" s="9" t="s">
        <v>13</v>
      </c>
      <c r="O3" s="9" t="s">
        <v>8</v>
      </c>
      <c r="P3" s="15" t="s">
        <v>14</v>
      </c>
    </row>
    <row r="4" spans="2:19" ht="15.75" thickBot="1" x14ac:dyDescent="0.3">
      <c r="B4" s="34" t="s">
        <v>16</v>
      </c>
      <c r="C4" s="46" t="s">
        <v>25</v>
      </c>
      <c r="D4" s="35">
        <v>3</v>
      </c>
      <c r="E4" s="36">
        <v>1</v>
      </c>
      <c r="F4" s="37" t="s">
        <v>6</v>
      </c>
      <c r="G4" s="38"/>
      <c r="H4" s="39"/>
      <c r="I4" s="39"/>
      <c r="J4" s="39"/>
      <c r="K4" s="39"/>
      <c r="L4" s="39"/>
      <c r="M4" s="40"/>
      <c r="N4" s="41">
        <v>44264</v>
      </c>
      <c r="O4" s="42">
        <f t="shared" ref="O4:O10" si="0">INT(0.5+(D4/E4*N4&gt;0)*(
D4/E4+
INT((MIN(VALUE(LEFT(F4,1)),WEEKDAY(N4,3))+D4/E4-1)/VALUE(LEFT(F4,1)))*(7-VALUE(LEFT(F4,1)))-
MAX(0,WEEKDAY(N4,3)-VALUE(LEFT(F4,1)))
))</f>
        <v>3</v>
      </c>
      <c r="P4" s="43">
        <f t="shared" ref="P4:P8" si="1">IF(O4&gt;0,N4+O4-1,NA())</f>
        <v>44266</v>
      </c>
      <c r="R4" s="1"/>
    </row>
    <row r="5" spans="2:19" ht="15.75" thickBot="1" x14ac:dyDescent="0.3">
      <c r="B5" s="17" t="s">
        <v>17</v>
      </c>
      <c r="C5" s="7" t="s">
        <v>26</v>
      </c>
      <c r="D5" s="3">
        <v>7</v>
      </c>
      <c r="E5" s="30">
        <v>1</v>
      </c>
      <c r="F5" s="5" t="s">
        <v>6</v>
      </c>
      <c r="G5" s="26"/>
      <c r="H5" s="2"/>
      <c r="I5" s="2"/>
      <c r="J5" s="2"/>
      <c r="K5" s="2"/>
      <c r="L5" s="2"/>
      <c r="M5" s="6"/>
      <c r="N5" s="25">
        <f t="shared" ref="N5:N10" si="2">P4+1</f>
        <v>44267</v>
      </c>
      <c r="O5" s="42">
        <f t="shared" si="0"/>
        <v>11</v>
      </c>
      <c r="P5" s="16">
        <f t="shared" si="1"/>
        <v>44277</v>
      </c>
    </row>
    <row r="6" spans="2:19" ht="15.75" thickBot="1" x14ac:dyDescent="0.3">
      <c r="B6" s="17" t="s">
        <v>18</v>
      </c>
      <c r="C6" s="7" t="s">
        <v>27</v>
      </c>
      <c r="D6" s="3">
        <v>3</v>
      </c>
      <c r="E6" s="30">
        <v>1</v>
      </c>
      <c r="F6" s="5" t="s">
        <v>6</v>
      </c>
      <c r="G6" s="26"/>
      <c r="H6" s="2"/>
      <c r="I6" s="2"/>
      <c r="J6" s="2"/>
      <c r="K6" s="2"/>
      <c r="L6" s="2"/>
      <c r="M6" s="6"/>
      <c r="N6" s="25">
        <f t="shared" si="2"/>
        <v>44278</v>
      </c>
      <c r="O6" s="42">
        <f t="shared" si="0"/>
        <v>3</v>
      </c>
      <c r="P6" s="16">
        <f t="shared" si="1"/>
        <v>44280</v>
      </c>
    </row>
    <row r="7" spans="2:19" ht="15.75" thickBot="1" x14ac:dyDescent="0.3">
      <c r="B7" s="17" t="s">
        <v>19</v>
      </c>
      <c r="C7" s="7" t="s">
        <v>28</v>
      </c>
      <c r="D7" s="3">
        <v>5</v>
      </c>
      <c r="E7" s="30">
        <v>1</v>
      </c>
      <c r="F7" s="5" t="s">
        <v>6</v>
      </c>
      <c r="G7" s="26"/>
      <c r="H7" s="2"/>
      <c r="I7" s="2"/>
      <c r="J7" s="2"/>
      <c r="K7" s="2"/>
      <c r="L7" s="2"/>
      <c r="M7" s="6"/>
      <c r="N7" s="25">
        <f t="shared" si="2"/>
        <v>44281</v>
      </c>
      <c r="O7" s="42">
        <f t="shared" si="0"/>
        <v>7</v>
      </c>
      <c r="P7" s="16">
        <f t="shared" si="1"/>
        <v>44287</v>
      </c>
      <c r="R7" s="1"/>
      <c r="S7" s="44"/>
    </row>
    <row r="8" spans="2:19" ht="15.75" thickBot="1" x14ac:dyDescent="0.3">
      <c r="B8" s="17" t="s">
        <v>20</v>
      </c>
      <c r="C8" s="7" t="s">
        <v>29</v>
      </c>
      <c r="D8" s="3">
        <v>3</v>
      </c>
      <c r="E8" s="30">
        <v>1</v>
      </c>
      <c r="F8" s="5" t="s">
        <v>6</v>
      </c>
      <c r="G8" s="26"/>
      <c r="H8" s="2"/>
      <c r="I8" s="2"/>
      <c r="J8" s="2"/>
      <c r="K8" s="2"/>
      <c r="L8" s="2"/>
      <c r="M8" s="6"/>
      <c r="N8" s="25">
        <f t="shared" si="2"/>
        <v>44288</v>
      </c>
      <c r="O8" s="42">
        <f t="shared" si="0"/>
        <v>5</v>
      </c>
      <c r="P8" s="16">
        <f t="shared" si="1"/>
        <v>44292</v>
      </c>
      <c r="R8" s="1"/>
    </row>
    <row r="9" spans="2:19" ht="15.75" thickBot="1" x14ac:dyDescent="0.3">
      <c r="B9" s="17" t="s">
        <v>15</v>
      </c>
      <c r="C9" s="24" t="s">
        <v>30</v>
      </c>
      <c r="D9" s="3">
        <v>2</v>
      </c>
      <c r="E9" s="30">
        <v>1</v>
      </c>
      <c r="F9" s="5" t="s">
        <v>6</v>
      </c>
      <c r="G9" s="26"/>
      <c r="H9" s="2"/>
      <c r="I9" s="2"/>
      <c r="J9" s="2"/>
      <c r="K9" s="2"/>
      <c r="L9" s="2"/>
      <c r="M9" s="6"/>
      <c r="N9" s="25">
        <f t="shared" si="2"/>
        <v>44293</v>
      </c>
      <c r="O9" s="42">
        <f t="shared" si="0"/>
        <v>2</v>
      </c>
      <c r="P9" s="16">
        <f t="shared" ref="P9" si="3">IF(O9&gt;0,N9+O9-1,NA())</f>
        <v>44294</v>
      </c>
      <c r="R9" s="1"/>
    </row>
    <row r="10" spans="2:19" ht="15.75" thickBot="1" x14ac:dyDescent="0.3">
      <c r="B10" s="18" t="s">
        <v>21</v>
      </c>
      <c r="C10" s="24" t="s">
        <v>24</v>
      </c>
      <c r="D10" s="19">
        <v>1</v>
      </c>
      <c r="E10" s="31">
        <v>1</v>
      </c>
      <c r="F10" s="20" t="s">
        <v>6</v>
      </c>
      <c r="G10" s="27"/>
      <c r="H10" s="21"/>
      <c r="I10" s="21"/>
      <c r="J10" s="21"/>
      <c r="K10" s="21"/>
      <c r="L10" s="21"/>
      <c r="M10" s="22"/>
      <c r="N10" s="28">
        <f t="shared" si="2"/>
        <v>44295</v>
      </c>
      <c r="O10" s="45">
        <f t="shared" si="0"/>
        <v>1</v>
      </c>
      <c r="P10" s="23">
        <f t="shared" ref="P10" si="4">IF(O10&gt;0,N10+O10-1,NA())</f>
        <v>44295</v>
      </c>
      <c r="R10" s="1"/>
    </row>
    <row r="12" spans="2:19" x14ac:dyDescent="0.2">
      <c r="C12" s="4"/>
    </row>
  </sheetData>
  <mergeCells count="1">
    <mergeCell ref="F2:M2"/>
  </mergeCells>
  <conditionalFormatting sqref="N4:N6">
    <cfRule type="expression" dxfId="8" priority="19" stopIfTrue="1">
      <formula>WEEKDAY(N4,2)&gt;VALUE(LEFT($F4))</formula>
    </cfRule>
  </conditionalFormatting>
  <conditionalFormatting sqref="G8:M8 G4:M6">
    <cfRule type="expression" dxfId="7" priority="20" stopIfTrue="1">
      <formula>VALUE(LEFT($F4,1))&gt;=COLUMNS($G4:G4)</formula>
    </cfRule>
  </conditionalFormatting>
  <conditionalFormatting sqref="G7:M7">
    <cfRule type="expression" dxfId="6" priority="18" stopIfTrue="1">
      <formula>VALUE(LEFT($F7,1))&gt;=COLUMNS($G7:G7)</formula>
    </cfRule>
  </conditionalFormatting>
  <conditionalFormatting sqref="N7">
    <cfRule type="expression" dxfId="5" priority="7" stopIfTrue="1">
      <formula>WEEKDAY(N7,2)&gt;VALUE(LEFT($F7))</formula>
    </cfRule>
  </conditionalFormatting>
  <conditionalFormatting sqref="G9:M9">
    <cfRule type="expression" dxfId="4" priority="5" stopIfTrue="1">
      <formula>VALUE(LEFT($F9,1))&gt;=COLUMNS($G9:G9)</formula>
    </cfRule>
  </conditionalFormatting>
  <conditionalFormatting sqref="N9">
    <cfRule type="expression" dxfId="3" priority="4" stopIfTrue="1">
      <formula>WEEKDAY(N9,2)&gt;VALUE(LEFT($F9))</formula>
    </cfRule>
  </conditionalFormatting>
  <conditionalFormatting sqref="N8">
    <cfRule type="expression" dxfId="2" priority="3" stopIfTrue="1">
      <formula>WEEKDAY(N8,2)&gt;VALUE(LEFT($F8))</formula>
    </cfRule>
  </conditionalFormatting>
  <conditionalFormatting sqref="G10:M10">
    <cfRule type="expression" dxfId="1" priority="2" stopIfTrue="1">
      <formula>VALUE(LEFT($F10,1))&gt;=COLUMNS($G10:G10)</formula>
    </cfRule>
  </conditionalFormatting>
  <conditionalFormatting sqref="N10">
    <cfRule type="expression" dxfId="0" priority="1" stopIfTrue="1">
      <formula>WEEKDAY(N10,2)&gt;VALUE(LEFT($F10))</formula>
    </cfRule>
  </conditionalFormatting>
  <dataValidations count="2">
    <dataValidation type="whole" operator="greaterThan" allowBlank="1" showInputMessage="1" showErrorMessage="1" errorTitle="Attenzione" error="Sono ammesse solo giornate lavorative intere!" sqref="D4:E10">
      <formula1>0</formula1>
    </dataValidation>
    <dataValidation type="list" allowBlank="1" showInputMessage="1" showErrorMessage="1" sqref="F4:F10">
      <formula1>"7 gg  (intera),6 gg,5 gg  (corta)"</formula1>
    </dataValidation>
  </dataValidations>
  <pageMargins left="0.75" right="0.75" top="1" bottom="1" header="0.5" footer="0.5"/>
  <pageSetup paperSize="9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G5"/>
  <sheetViews>
    <sheetView tabSelected="1" workbookViewId="0">
      <selection activeCell="J5" sqref="J5"/>
    </sheetView>
  </sheetViews>
  <sheetFormatPr defaultRowHeight="12.75" x14ac:dyDescent="0.2"/>
  <cols>
    <col min="2" max="2" width="5.42578125" customWidth="1"/>
    <col min="3" max="3" width="19.140625" customWidth="1"/>
    <col min="6" max="6" width="5" customWidth="1"/>
    <col min="7" max="7" width="20.42578125" customWidth="1"/>
  </cols>
  <sheetData>
    <row r="3" spans="2:7" ht="20.25" customHeight="1" thickBot="1" x14ac:dyDescent="0.25"/>
    <row r="4" spans="2:7" ht="43.5" customHeight="1" thickBot="1" x14ac:dyDescent="0.25">
      <c r="B4" s="52"/>
      <c r="C4" s="49"/>
      <c r="F4" s="53"/>
      <c r="G4" s="51"/>
    </row>
    <row r="5" spans="2:7" ht="16.5" customHeight="1" thickBot="1" x14ac:dyDescent="0.25">
      <c r="B5" s="50"/>
      <c r="C5" s="51"/>
      <c r="F5" s="50"/>
      <c r="G5" s="51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2</vt:i4>
      </vt:variant>
    </vt:vector>
  </HeadingPairs>
  <TitlesOfParts>
    <vt:vector size="2" baseType="lpstr">
      <vt:lpstr>Livello1</vt:lpstr>
      <vt:lpstr>Foglio1</vt:lpstr>
    </vt:vector>
  </TitlesOfParts>
  <Company>RIO - Risorse in italiano per gli utenti di office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Diagramma di Gantt</dc:title>
  <dc:creator>Ignazio Putignano</dc:creator>
  <cp:lastModifiedBy>Utente</cp:lastModifiedBy>
  <cp:lastPrinted>2009-02-15T10:38:42Z</cp:lastPrinted>
  <dcterms:created xsi:type="dcterms:W3CDTF">2007-06-13T16:59:15Z</dcterms:created>
  <dcterms:modified xsi:type="dcterms:W3CDTF">2020-06-30T18:19:35Z</dcterms:modified>
</cp:coreProperties>
</file>